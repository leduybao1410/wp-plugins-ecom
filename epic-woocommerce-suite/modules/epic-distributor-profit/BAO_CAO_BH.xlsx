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ac/Documents/EPIC/2026/"/>
    </mc:Choice>
  </mc:AlternateContent>
  <xr:revisionPtr revIDLastSave="0" documentId="13_ncr:1_{C16FD1F0-9AF1-7F4D-8C8E-FC65F62F97FE}" xr6:coauthVersionLast="47" xr6:coauthVersionMax="47" xr10:uidLastSave="{00000000-0000-0000-0000-000000000000}"/>
  <bookViews>
    <workbookView xWindow="0" yWindow="0" windowWidth="28800" windowHeight="18000" xr2:uid="{07DA733B-BC7F-9A4F-911D-B78D96AA473C}"/>
  </bookViews>
  <sheets>
    <sheet name="GIÁ VỐN" sheetId="1" r:id="rId1"/>
    <sheet name="PHÍ SHIP" sheetId="4" r:id="rId2"/>
    <sheet name="T08" sheetId="2" r:id="rId3"/>
    <sheet name="T09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11" i="1"/>
  <c r="L12" i="1"/>
  <c r="L13" i="1"/>
  <c r="L14" i="1"/>
  <c r="L15" i="1"/>
  <c r="L16" i="1"/>
  <c r="L17" i="1"/>
  <c r="L4" i="1"/>
  <c r="J20" i="3" l="1"/>
  <c r="G20" i="3"/>
  <c r="F20" i="3"/>
  <c r="H35" i="3"/>
  <c r="E35" i="3"/>
  <c r="D35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G31" i="2"/>
  <c r="F31" i="2"/>
  <c r="G16" i="1"/>
  <c r="G17" i="1"/>
  <c r="G15" i="1"/>
  <c r="G8" i="1"/>
  <c r="G9" i="1"/>
  <c r="G10" i="1"/>
  <c r="G7" i="1"/>
  <c r="H35" i="2"/>
  <c r="E35" i="2"/>
  <c r="D35" i="2"/>
  <c r="G33" i="2"/>
  <c r="E37" i="3" l="1"/>
  <c r="E37" i="2"/>
  <c r="K8" i="1"/>
  <c r="C7" i="2" s="1"/>
  <c r="F6" i="1"/>
  <c r="K6" i="1" s="1"/>
  <c r="C5" i="2" s="1"/>
  <c r="F7" i="1"/>
  <c r="K7" i="1" s="1"/>
  <c r="C6" i="2" s="1"/>
  <c r="F8" i="1"/>
  <c r="F13" i="1"/>
  <c r="K13" i="1" s="1"/>
  <c r="C12" i="2" s="1"/>
  <c r="F14" i="1"/>
  <c r="K14" i="1" s="1"/>
  <c r="C13" i="2" s="1"/>
  <c r="F15" i="1"/>
  <c r="K15" i="1" s="1"/>
  <c r="C14" i="2" s="1"/>
  <c r="C14" i="1"/>
  <c r="D14" i="1" s="1"/>
  <c r="C13" i="1"/>
  <c r="D13" i="1" s="1"/>
  <c r="C12" i="1"/>
  <c r="D12" i="1" s="1"/>
  <c r="F12" i="1" s="1"/>
  <c r="K12" i="1" s="1"/>
  <c r="C11" i="2" s="1"/>
  <c r="C11" i="1"/>
  <c r="D11" i="1" s="1"/>
  <c r="F11" i="1" s="1"/>
  <c r="K11" i="1" s="1"/>
  <c r="C10" i="2" s="1"/>
  <c r="D5" i="1"/>
  <c r="F5" i="1" s="1"/>
  <c r="K5" i="1" s="1"/>
  <c r="C4" i="2" s="1"/>
  <c r="D6" i="1"/>
  <c r="D7" i="1"/>
  <c r="D8" i="1"/>
  <c r="D9" i="1"/>
  <c r="F9" i="1" s="1"/>
  <c r="K9" i="1" s="1"/>
  <c r="C8" i="2" s="1"/>
  <c r="D10" i="1"/>
  <c r="F10" i="1" s="1"/>
  <c r="K10" i="1" s="1"/>
  <c r="C9" i="2" s="1"/>
  <c r="D15" i="1"/>
  <c r="D16" i="1"/>
  <c r="D17" i="1"/>
  <c r="F17" i="1" s="1"/>
  <c r="K17" i="1" s="1"/>
  <c r="C16" i="2" s="1"/>
  <c r="F27" i="2" s="1"/>
  <c r="G27" i="2" s="1"/>
  <c r="D4" i="1"/>
  <c r="F4" i="1" s="1"/>
  <c r="K4" i="1" s="1"/>
  <c r="C3" i="2" s="1"/>
  <c r="G35" i="3" l="1"/>
  <c r="F35" i="3"/>
  <c r="F37" i="3" s="1"/>
  <c r="F29" i="2"/>
  <c r="G29" i="2" s="1"/>
  <c r="F16" i="1"/>
  <c r="K16" i="1" s="1"/>
  <c r="C15" i="2" s="1"/>
  <c r="F21" i="2"/>
  <c r="G21" i="2" s="1"/>
  <c r="F20" i="2"/>
  <c r="F26" i="2"/>
  <c r="G26" i="2" s="1"/>
  <c r="F22" i="2"/>
  <c r="G22" i="2" s="1"/>
  <c r="G37" i="3" l="1"/>
  <c r="G20" i="2"/>
  <c r="G35" i="2" s="1"/>
  <c r="F35" i="2"/>
  <c r="F37" i="2" s="1"/>
  <c r="G37" i="2" l="1"/>
  <c r="J20" i="2"/>
</calcChain>
</file>

<file path=xl/sharedStrings.xml><?xml version="1.0" encoding="utf-8"?>
<sst xmlns="http://schemas.openxmlformats.org/spreadsheetml/2006/main" count="142" uniqueCount="75">
  <si>
    <t xml:space="preserve">BẢNG CHI PHÍ </t>
  </si>
  <si>
    <t>STT</t>
  </si>
  <si>
    <t>TÊN CÀ</t>
  </si>
  <si>
    <t>GIÁ NHẬP</t>
  </si>
  <si>
    <t>RANG GIA CÔNG</t>
  </si>
  <si>
    <t>BAO BÌ</t>
  </si>
  <si>
    <t>ẤN PHẨM KÈM</t>
  </si>
  <si>
    <t>GIÁ SAU RANG</t>
  </si>
  <si>
    <t>ROBUSTA NATURAL</t>
  </si>
  <si>
    <t>ROBUSTA HONEY</t>
  </si>
  <si>
    <t>ARABICA VN</t>
  </si>
  <si>
    <t>ETHIOPIA YIRGACHEFFE</t>
  </si>
  <si>
    <t>ETHIOPIA GUJI</t>
  </si>
  <si>
    <t>BRAZIL</t>
  </si>
  <si>
    <t>PERU</t>
  </si>
  <si>
    <t>SWEET LOVE</t>
  </si>
  <si>
    <t>DAILY MUSE</t>
  </si>
  <si>
    <t>COZY</t>
  </si>
  <si>
    <t>GENTLE BREW</t>
  </si>
  <si>
    <t>PERU GESHA</t>
  </si>
  <si>
    <t>COLOMBIA UC02</t>
  </si>
  <si>
    <t>KENYA</t>
  </si>
  <si>
    <t>ĐVT</t>
  </si>
  <si>
    <t>KG</t>
  </si>
  <si>
    <t>TÚI</t>
  </si>
  <si>
    <t>CÁI</t>
  </si>
  <si>
    <t>TỔNG CHI PHÍ</t>
  </si>
  <si>
    <t>THÀNH PHẨM</t>
  </si>
  <si>
    <t>SAMPLE</t>
  </si>
  <si>
    <t>ĐÓNG GÓI</t>
  </si>
  <si>
    <t>SẢN PHẨM</t>
  </si>
  <si>
    <t>GIÁ VỐN</t>
  </si>
  <si>
    <t>LỢI NHUẬN</t>
  </si>
  <si>
    <t>CHIẾT KHẤU 20%</t>
  </si>
  <si>
    <t>TỔNG ĐƠN</t>
  </si>
  <si>
    <t>CHÚ THÍCH:</t>
  </si>
  <si>
    <t>Đóng gói</t>
  </si>
  <si>
    <t xml:space="preserve">Hộp giấy </t>
  </si>
  <si>
    <t>Ấn phẩm kèm</t>
  </si>
  <si>
    <t>Bao gồm design, tem nhãn, name card, decal mã đơn</t>
  </si>
  <si>
    <t>MÃ ĐƠN</t>
  </si>
  <si>
    <t>THỰC NHẬN</t>
  </si>
  <si>
    <t>2608138U230BMR</t>
  </si>
  <si>
    <t>TỔNG SẢN PHẨM BÁN</t>
  </si>
  <si>
    <t>2608138URSQS5C</t>
  </si>
  <si>
    <t>260814BFRQHGTY</t>
  </si>
  <si>
    <t>ETHI YIRGACHEFFE</t>
  </si>
  <si>
    <t>260815E1H9A6FM</t>
  </si>
  <si>
    <t>260815EMWRQVT0</t>
  </si>
  <si>
    <t>CHI PHÍ KHÁC</t>
  </si>
  <si>
    <t>NẠP TK SHOPEE</t>
  </si>
  <si>
    <t>COLOMBIA SAMPLE</t>
  </si>
  <si>
    <t>260816H90WJ9S4</t>
  </si>
  <si>
    <t>BÁO CÁO DOANH THU SHOPEE</t>
  </si>
  <si>
    <t>SHOPEE</t>
  </si>
  <si>
    <t>WEB</t>
  </si>
  <si>
    <t>260819R1FCV11M</t>
  </si>
  <si>
    <t>PERU SAMPLE</t>
  </si>
  <si>
    <t>TỔNG HỢP ĐƠN</t>
  </si>
  <si>
    <t>13G--57-A6</t>
  </si>
  <si>
    <t>CHI PHÍ TRỪ</t>
  </si>
  <si>
    <t>SHIP</t>
  </si>
  <si>
    <t>ĐƠN &gt;= 10KG:</t>
  </si>
  <si>
    <t>FREE SHIP</t>
  </si>
  <si>
    <t>ĐƠN &lt;10KG</t>
  </si>
  <si>
    <t>TRONG NGÀY</t>
  </si>
  <si>
    <t>HỎA TỐC</t>
  </si>
  <si>
    <t>VIETTEL POST</t>
  </si>
  <si>
    <t>0 - 5KM</t>
  </si>
  <si>
    <t>KHÁCH</t>
  </si>
  <si>
    <t>TRỢ GIÁ</t>
  </si>
  <si>
    <t>6 - 10KM</t>
  </si>
  <si>
    <t>&gt;10KM - 15KM</t>
  </si>
  <si>
    <t>&gt;15KM</t>
  </si>
  <si>
    <t>PHẦN CÒN LẠI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</si>
</sst>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6"/>
      <color theme="5" tint="-0.249977111117893"/>
      <name val="Calibri"/>
      <family val="2"/>
      <scheme val="minor"/>
    </font>
    <font>
      <b/>
      <i/>
      <sz val="10"/>
      <color theme="5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sz val="12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i/>
      <sz val="14"/>
      <color rgb="FFC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0070C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3" fontId="2" fillId="3" borderId="0" xfId="0" applyNumberFormat="1" applyFont="1" applyFill="1" applyAlignment="1">
      <alignment horizontal="center" vertical="center"/>
    </xf>
    <xf numFmtId="3" fontId="2" fillId="3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3" fontId="6" fillId="2" borderId="0" xfId="0" applyNumberFormat="1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 wrapText="1"/>
    </xf>
    <xf numFmtId="3" fontId="4" fillId="4" borderId="0" xfId="0" applyNumberFormat="1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3" fontId="0" fillId="5" borderId="0" xfId="0" applyNumberFormat="1" applyFill="1" applyAlignment="1">
      <alignment horizontal="center" vertical="center"/>
    </xf>
    <xf numFmtId="3" fontId="4" fillId="5" borderId="0" xfId="0" applyNumberFormat="1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3" fontId="8" fillId="0" borderId="0" xfId="0" applyNumberFormat="1" applyFont="1" applyAlignment="1">
      <alignment vertical="center"/>
    </xf>
    <xf numFmtId="0" fontId="1" fillId="6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3" fontId="9" fillId="2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3" fontId="16" fillId="9" borderId="0" xfId="0" applyNumberFormat="1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12" fillId="10" borderId="0" xfId="0" applyFont="1" applyFill="1" applyAlignment="1">
      <alignment horizontal="left" vertical="center"/>
    </xf>
    <xf numFmtId="0" fontId="2" fillId="10" borderId="0" xfId="0" applyFont="1" applyFill="1" applyAlignment="1">
      <alignment vertical="center"/>
    </xf>
    <xf numFmtId="3" fontId="0" fillId="10" borderId="0" xfId="0" applyNumberFormat="1" applyFill="1" applyAlignment="1">
      <alignment horizontal="center" vertical="center"/>
    </xf>
    <xf numFmtId="0" fontId="0" fillId="10" borderId="0" xfId="0" applyFill="1" applyAlignment="1">
      <alignment vertical="center"/>
    </xf>
    <xf numFmtId="3" fontId="0" fillId="10" borderId="0" xfId="0" applyNumberFormat="1" applyFill="1" applyAlignment="1">
      <alignment vertical="center"/>
    </xf>
    <xf numFmtId="10" fontId="2" fillId="0" borderId="0" xfId="0" applyNumberFormat="1" applyFont="1" applyAlignment="1">
      <alignment horizontal="center" vertical="center"/>
    </xf>
    <xf numFmtId="3" fontId="0" fillId="10" borderId="0" xfId="0" applyNumberFormat="1" applyFill="1" applyAlignment="1">
      <alignment horizontal="center" vertical="center"/>
    </xf>
    <xf numFmtId="0" fontId="0" fillId="10" borderId="0" xfId="0" applyFill="1" applyAlignment="1">
      <alignment horizontal="left" vertical="center"/>
    </xf>
    <xf numFmtId="0" fontId="0" fillId="10" borderId="0" xfId="0" applyFill="1" applyAlignment="1">
      <alignment horizontal="center" vertical="center"/>
    </xf>
    <xf numFmtId="0" fontId="12" fillId="10" borderId="0" xfId="0" applyFont="1" applyFill="1" applyAlignment="1">
      <alignment horizontal="left" vertical="center"/>
    </xf>
    <xf numFmtId="3" fontId="16" fillId="9" borderId="0" xfId="0" applyNumberFormat="1" applyFont="1" applyFill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3" fontId="13" fillId="5" borderId="0" xfId="0" applyNumberFormat="1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" fontId="12" fillId="10" borderId="0" xfId="0" quotePrefix="1" applyNumberFormat="1" applyFont="1" applyFill="1" applyAlignment="1">
      <alignment horizontal="left" vertical="center"/>
    </xf>
    <xf numFmtId="3" fontId="0" fillId="11" borderId="0" xfId="0" applyNumberForma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9" fillId="0" borderId="0" xfId="0" applyFont="1" applyAlignment="1">
      <alignment vertical="center"/>
    </xf>
    <xf numFmtId="0" fontId="2" fillId="1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3" fontId="17" fillId="5" borderId="0" xfId="0" applyNumberFormat="1" applyFont="1" applyFill="1" applyAlignment="1">
      <alignment horizontal="center" vertical="center"/>
    </xf>
    <xf numFmtId="3" fontId="18" fillId="5" borderId="0" xfId="0" applyNumberFormat="1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Red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5C49-2B53-D042-8EBD-2F08D258DA9C}">
  <dimension ref="A1:L21"/>
  <sheetViews>
    <sheetView tabSelected="1" workbookViewId="0">
      <selection activeCell="A15" sqref="A15:XFD15"/>
    </sheetView>
  </sheetViews>
  <sheetFormatPr baseColWidth="10" defaultRowHeight="25" customHeight="1" x14ac:dyDescent="0.2"/>
  <cols>
    <col min="1" max="1" width="5.1640625" style="1" customWidth="1"/>
    <col min="2" max="2" width="20.83203125" style="1" bestFit="1" customWidth="1"/>
    <col min="3" max="5" width="15" style="2" customWidth="1"/>
    <col min="6" max="10" width="17.6640625" style="2" customWidth="1"/>
    <col min="11" max="11" width="15.5" style="2" customWidth="1"/>
    <col min="12" max="16384" width="10.83203125" style="1"/>
  </cols>
  <sheetData>
    <row r="1" spans="1:12" ht="25" customHeight="1" x14ac:dyDescent="0.2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2" s="6" customFormat="1" ht="25" customHeight="1" x14ac:dyDescent="0.2">
      <c r="A2" s="7" t="s">
        <v>1</v>
      </c>
      <c r="B2" s="7" t="s">
        <v>2</v>
      </c>
      <c r="C2" s="8" t="s">
        <v>3</v>
      </c>
      <c r="D2" s="8" t="s">
        <v>7</v>
      </c>
      <c r="E2" s="8" t="s">
        <v>4</v>
      </c>
      <c r="F2" s="8" t="s">
        <v>27</v>
      </c>
      <c r="G2" s="8"/>
      <c r="H2" s="8" t="s">
        <v>5</v>
      </c>
      <c r="I2" s="8" t="s">
        <v>29</v>
      </c>
      <c r="J2" s="8" t="s">
        <v>6</v>
      </c>
      <c r="K2" s="9" t="s">
        <v>26</v>
      </c>
    </row>
    <row r="3" spans="1:12" s="3" customFormat="1" ht="15" customHeight="1" x14ac:dyDescent="0.2">
      <c r="A3" s="10"/>
      <c r="B3" s="11" t="s">
        <v>22</v>
      </c>
      <c r="C3" s="12" t="s">
        <v>23</v>
      </c>
      <c r="D3" s="12" t="s">
        <v>23</v>
      </c>
      <c r="E3" s="12" t="s">
        <v>23</v>
      </c>
      <c r="F3" s="12" t="s">
        <v>24</v>
      </c>
      <c r="G3" s="12" t="s">
        <v>28</v>
      </c>
      <c r="H3" s="12" t="s">
        <v>24</v>
      </c>
      <c r="I3" s="12" t="s">
        <v>25</v>
      </c>
      <c r="J3" s="12" t="s">
        <v>24</v>
      </c>
      <c r="K3" s="13" t="s">
        <v>24</v>
      </c>
    </row>
    <row r="4" spans="1:12" ht="25" customHeight="1" x14ac:dyDescent="0.2">
      <c r="A4" s="15">
        <v>1</v>
      </c>
      <c r="B4" s="16" t="s">
        <v>8</v>
      </c>
      <c r="C4" s="17">
        <v>130000</v>
      </c>
      <c r="D4" s="17">
        <f>C4/1000*1200</f>
        <v>156000</v>
      </c>
      <c r="E4" s="17">
        <v>15000</v>
      </c>
      <c r="F4" s="17">
        <f>(D4+E4)/4</f>
        <v>42750</v>
      </c>
      <c r="G4" s="17">
        <v>0</v>
      </c>
      <c r="H4" s="17">
        <v>12000</v>
      </c>
      <c r="I4" s="17">
        <v>20000</v>
      </c>
      <c r="J4" s="17">
        <v>3000</v>
      </c>
      <c r="K4" s="14">
        <f>F4+H4+I4+J4</f>
        <v>77750</v>
      </c>
      <c r="L4" s="1">
        <f>K4*4</f>
        <v>311000</v>
      </c>
    </row>
    <row r="5" spans="1:12" ht="25" customHeight="1" x14ac:dyDescent="0.2">
      <c r="A5" s="15">
        <v>2</v>
      </c>
      <c r="B5" s="16" t="s">
        <v>9</v>
      </c>
      <c r="C5" s="17">
        <v>200000</v>
      </c>
      <c r="D5" s="17">
        <f t="shared" ref="D5:D17" si="0">C5/1000*1200</f>
        <v>240000</v>
      </c>
      <c r="E5" s="17">
        <v>15000</v>
      </c>
      <c r="F5" s="17">
        <f t="shared" ref="F5:F17" si="1">(D5+E5)/4</f>
        <v>63750</v>
      </c>
      <c r="G5" s="17">
        <v>0</v>
      </c>
      <c r="H5" s="17">
        <v>12000</v>
      </c>
      <c r="I5" s="17">
        <v>20000</v>
      </c>
      <c r="J5" s="17">
        <v>3000</v>
      </c>
      <c r="K5" s="14">
        <f t="shared" ref="K5:K17" si="2">F5+H5+I5+J5</f>
        <v>98750</v>
      </c>
      <c r="L5" s="1">
        <f t="shared" ref="L5:L17" si="3">K5*4</f>
        <v>395000</v>
      </c>
    </row>
    <row r="6" spans="1:12" ht="25" customHeight="1" x14ac:dyDescent="0.2">
      <c r="A6" s="15">
        <v>3</v>
      </c>
      <c r="B6" s="16" t="s">
        <v>10</v>
      </c>
      <c r="C6" s="17">
        <v>230000</v>
      </c>
      <c r="D6" s="17">
        <f t="shared" si="0"/>
        <v>276000</v>
      </c>
      <c r="E6" s="17">
        <v>15000</v>
      </c>
      <c r="F6" s="17">
        <f t="shared" si="1"/>
        <v>72750</v>
      </c>
      <c r="G6" s="17">
        <v>0</v>
      </c>
      <c r="H6" s="17">
        <v>12000</v>
      </c>
      <c r="I6" s="17">
        <v>20000</v>
      </c>
      <c r="J6" s="17">
        <v>3000</v>
      </c>
      <c r="K6" s="14">
        <f t="shared" si="2"/>
        <v>107750</v>
      </c>
      <c r="L6" s="1">
        <f t="shared" si="3"/>
        <v>431000</v>
      </c>
    </row>
    <row r="7" spans="1:12" ht="25" customHeight="1" x14ac:dyDescent="0.2">
      <c r="A7" s="15">
        <v>4</v>
      </c>
      <c r="B7" s="16" t="s">
        <v>11</v>
      </c>
      <c r="C7" s="17">
        <v>490000</v>
      </c>
      <c r="D7" s="17">
        <f t="shared" si="0"/>
        <v>588000</v>
      </c>
      <c r="E7" s="17">
        <v>40000</v>
      </c>
      <c r="F7" s="17">
        <f t="shared" si="1"/>
        <v>157000</v>
      </c>
      <c r="G7" s="18">
        <f>((D7+E7)/1000*20)+10000+J7</f>
        <v>25560</v>
      </c>
      <c r="H7" s="17">
        <v>12000</v>
      </c>
      <c r="I7" s="17">
        <v>20000</v>
      </c>
      <c r="J7" s="17">
        <v>3000</v>
      </c>
      <c r="K7" s="14">
        <f t="shared" si="2"/>
        <v>192000</v>
      </c>
      <c r="L7" s="1">
        <f t="shared" si="3"/>
        <v>768000</v>
      </c>
    </row>
    <row r="8" spans="1:12" ht="25" customHeight="1" x14ac:dyDescent="0.2">
      <c r="A8" s="15">
        <v>5</v>
      </c>
      <c r="B8" s="16" t="s">
        <v>12</v>
      </c>
      <c r="C8" s="17">
        <v>600000</v>
      </c>
      <c r="D8" s="17">
        <f t="shared" si="0"/>
        <v>720000</v>
      </c>
      <c r="E8" s="17">
        <v>40000</v>
      </c>
      <c r="F8" s="17">
        <f t="shared" si="1"/>
        <v>190000</v>
      </c>
      <c r="G8" s="18">
        <f t="shared" ref="G8:G10" si="4">((D8+E8)/1000*20)+10000+J8</f>
        <v>28200</v>
      </c>
      <c r="H8" s="17">
        <v>12000</v>
      </c>
      <c r="I8" s="17">
        <v>20000</v>
      </c>
      <c r="J8" s="17">
        <v>3000</v>
      </c>
      <c r="K8" s="14">
        <f t="shared" si="2"/>
        <v>225000</v>
      </c>
      <c r="L8" s="1">
        <f t="shared" si="3"/>
        <v>900000</v>
      </c>
    </row>
    <row r="9" spans="1:12" ht="25" customHeight="1" x14ac:dyDescent="0.2">
      <c r="A9" s="15">
        <v>6</v>
      </c>
      <c r="B9" s="16" t="s">
        <v>13</v>
      </c>
      <c r="C9" s="17">
        <v>270000</v>
      </c>
      <c r="D9" s="17">
        <f t="shared" si="0"/>
        <v>324000</v>
      </c>
      <c r="E9" s="17">
        <v>40000</v>
      </c>
      <c r="F9" s="17">
        <f t="shared" si="1"/>
        <v>91000</v>
      </c>
      <c r="G9" s="18">
        <f t="shared" si="4"/>
        <v>20280</v>
      </c>
      <c r="H9" s="17">
        <v>12000</v>
      </c>
      <c r="I9" s="17">
        <v>20000</v>
      </c>
      <c r="J9" s="17">
        <v>3000</v>
      </c>
      <c r="K9" s="14">
        <f t="shared" si="2"/>
        <v>126000</v>
      </c>
      <c r="L9" s="1">
        <f t="shared" si="3"/>
        <v>504000</v>
      </c>
    </row>
    <row r="10" spans="1:12" ht="25" customHeight="1" x14ac:dyDescent="0.2">
      <c r="A10" s="15">
        <v>7</v>
      </c>
      <c r="B10" s="16" t="s">
        <v>14</v>
      </c>
      <c r="C10" s="17">
        <v>290000</v>
      </c>
      <c r="D10" s="17">
        <f t="shared" si="0"/>
        <v>348000</v>
      </c>
      <c r="E10" s="17">
        <v>40000</v>
      </c>
      <c r="F10" s="17">
        <f t="shared" si="1"/>
        <v>97000</v>
      </c>
      <c r="G10" s="18">
        <f t="shared" si="4"/>
        <v>20760</v>
      </c>
      <c r="H10" s="17">
        <v>12000</v>
      </c>
      <c r="I10" s="17">
        <v>20000</v>
      </c>
      <c r="J10" s="17">
        <v>3000</v>
      </c>
      <c r="K10" s="14">
        <f t="shared" si="2"/>
        <v>132000</v>
      </c>
      <c r="L10" s="1">
        <f t="shared" si="3"/>
        <v>528000</v>
      </c>
    </row>
    <row r="11" spans="1:12" ht="25" customHeight="1" x14ac:dyDescent="0.2">
      <c r="A11" s="15">
        <v>8</v>
      </c>
      <c r="B11" s="16" t="s">
        <v>15</v>
      </c>
      <c r="C11" s="17">
        <f>(C10+C5)/2</f>
        <v>245000</v>
      </c>
      <c r="D11" s="17">
        <f t="shared" si="0"/>
        <v>294000</v>
      </c>
      <c r="E11" s="17">
        <v>40000</v>
      </c>
      <c r="F11" s="17">
        <f t="shared" si="1"/>
        <v>83500</v>
      </c>
      <c r="G11" s="17">
        <v>0</v>
      </c>
      <c r="H11" s="17">
        <v>12000</v>
      </c>
      <c r="I11" s="17">
        <v>20000</v>
      </c>
      <c r="J11" s="17">
        <v>3000</v>
      </c>
      <c r="K11" s="14">
        <f t="shared" si="2"/>
        <v>118500</v>
      </c>
      <c r="L11" s="1">
        <f t="shared" si="3"/>
        <v>474000</v>
      </c>
    </row>
    <row r="12" spans="1:12" ht="25" customHeight="1" x14ac:dyDescent="0.2">
      <c r="A12" s="15">
        <v>9</v>
      </c>
      <c r="B12" s="16" t="s">
        <v>16</v>
      </c>
      <c r="C12" s="17">
        <f>(C5+C6)/2</f>
        <v>215000</v>
      </c>
      <c r="D12" s="17">
        <f t="shared" si="0"/>
        <v>258000</v>
      </c>
      <c r="E12" s="17">
        <v>40000</v>
      </c>
      <c r="F12" s="17">
        <f t="shared" si="1"/>
        <v>74500</v>
      </c>
      <c r="G12" s="17">
        <v>0</v>
      </c>
      <c r="H12" s="17">
        <v>12000</v>
      </c>
      <c r="I12" s="17">
        <v>20000</v>
      </c>
      <c r="J12" s="17">
        <v>3000</v>
      </c>
      <c r="K12" s="14">
        <f t="shared" si="2"/>
        <v>109500</v>
      </c>
      <c r="L12" s="1">
        <f t="shared" si="3"/>
        <v>438000</v>
      </c>
    </row>
    <row r="13" spans="1:12" ht="25" customHeight="1" x14ac:dyDescent="0.2">
      <c r="A13" s="15">
        <v>10</v>
      </c>
      <c r="B13" s="16" t="s">
        <v>17</v>
      </c>
      <c r="C13" s="17">
        <f>(C9+C5)/2</f>
        <v>235000</v>
      </c>
      <c r="D13" s="17">
        <f t="shared" si="0"/>
        <v>282000</v>
      </c>
      <c r="E13" s="17">
        <v>40000</v>
      </c>
      <c r="F13" s="17">
        <f t="shared" si="1"/>
        <v>80500</v>
      </c>
      <c r="G13" s="17">
        <v>0</v>
      </c>
      <c r="H13" s="17">
        <v>12000</v>
      </c>
      <c r="I13" s="17">
        <v>20000</v>
      </c>
      <c r="J13" s="17">
        <v>3000</v>
      </c>
      <c r="K13" s="14">
        <f t="shared" si="2"/>
        <v>115500</v>
      </c>
      <c r="L13" s="1">
        <f t="shared" si="3"/>
        <v>462000</v>
      </c>
    </row>
    <row r="14" spans="1:12" ht="25" customHeight="1" x14ac:dyDescent="0.2">
      <c r="A14" s="15">
        <v>11</v>
      </c>
      <c r="B14" s="16" t="s">
        <v>18</v>
      </c>
      <c r="C14" s="17">
        <f>(C9+C10)/2</f>
        <v>280000</v>
      </c>
      <c r="D14" s="17">
        <f t="shared" si="0"/>
        <v>336000</v>
      </c>
      <c r="E14" s="17">
        <v>40000</v>
      </c>
      <c r="F14" s="17">
        <f t="shared" si="1"/>
        <v>94000</v>
      </c>
      <c r="G14" s="17">
        <v>0</v>
      </c>
      <c r="H14" s="17">
        <v>12000</v>
      </c>
      <c r="I14" s="17">
        <v>20000</v>
      </c>
      <c r="J14" s="17">
        <v>3000</v>
      </c>
      <c r="K14" s="14">
        <f t="shared" si="2"/>
        <v>129000</v>
      </c>
      <c r="L14" s="1">
        <f t="shared" si="3"/>
        <v>516000</v>
      </c>
    </row>
    <row r="15" spans="1:12" ht="25" customHeight="1" x14ac:dyDescent="0.2">
      <c r="A15" s="15">
        <v>12</v>
      </c>
      <c r="B15" s="16" t="s">
        <v>19</v>
      </c>
      <c r="C15" s="17">
        <v>1400000</v>
      </c>
      <c r="D15" s="17">
        <f t="shared" si="0"/>
        <v>1680000</v>
      </c>
      <c r="E15" s="17">
        <v>50000</v>
      </c>
      <c r="F15" s="17">
        <f t="shared" si="1"/>
        <v>432500</v>
      </c>
      <c r="G15" s="18">
        <f>((D15+E15)/1000*20)+10000+J15</f>
        <v>47600</v>
      </c>
      <c r="H15" s="17">
        <v>12000</v>
      </c>
      <c r="I15" s="17">
        <v>20000</v>
      </c>
      <c r="J15" s="17">
        <v>3000</v>
      </c>
      <c r="K15" s="14">
        <f t="shared" si="2"/>
        <v>467500</v>
      </c>
      <c r="L15" s="1">
        <f t="shared" si="3"/>
        <v>1870000</v>
      </c>
    </row>
    <row r="16" spans="1:12" ht="25" customHeight="1" x14ac:dyDescent="0.2">
      <c r="A16" s="15">
        <v>13</v>
      </c>
      <c r="B16" s="16" t="s">
        <v>20</v>
      </c>
      <c r="C16" s="17">
        <v>1620000</v>
      </c>
      <c r="D16" s="17">
        <f t="shared" si="0"/>
        <v>1944000</v>
      </c>
      <c r="E16" s="17">
        <v>50000</v>
      </c>
      <c r="F16" s="17">
        <f t="shared" si="1"/>
        <v>498500</v>
      </c>
      <c r="G16" s="18">
        <f t="shared" ref="G16:G17" si="5">((D16+E16)/1000*20)+10000+J16</f>
        <v>52880</v>
      </c>
      <c r="H16" s="17">
        <v>12000</v>
      </c>
      <c r="I16" s="17">
        <v>20000</v>
      </c>
      <c r="J16" s="17">
        <v>3000</v>
      </c>
      <c r="K16" s="14">
        <f t="shared" si="2"/>
        <v>533500</v>
      </c>
      <c r="L16" s="1">
        <f t="shared" si="3"/>
        <v>2134000</v>
      </c>
    </row>
    <row r="17" spans="1:12" ht="25" customHeight="1" x14ac:dyDescent="0.2">
      <c r="A17" s="15">
        <v>14</v>
      </c>
      <c r="B17" s="16" t="s">
        <v>21</v>
      </c>
      <c r="C17" s="17">
        <v>610000</v>
      </c>
      <c r="D17" s="17">
        <f t="shared" si="0"/>
        <v>732000</v>
      </c>
      <c r="E17" s="17">
        <v>40000</v>
      </c>
      <c r="F17" s="17">
        <f t="shared" si="1"/>
        <v>193000</v>
      </c>
      <c r="G17" s="18">
        <f t="shared" si="5"/>
        <v>28440</v>
      </c>
      <c r="H17" s="17">
        <v>12000</v>
      </c>
      <c r="I17" s="17">
        <v>20000</v>
      </c>
      <c r="J17" s="17">
        <v>3000</v>
      </c>
      <c r="K17" s="14">
        <f t="shared" si="2"/>
        <v>228000</v>
      </c>
      <c r="L17" s="1">
        <f t="shared" si="3"/>
        <v>912000</v>
      </c>
    </row>
    <row r="19" spans="1:12" ht="25" customHeight="1" x14ac:dyDescent="0.2">
      <c r="A19" s="19" t="s">
        <v>35</v>
      </c>
    </row>
    <row r="20" spans="1:12" ht="25" customHeight="1" x14ac:dyDescent="0.2">
      <c r="A20" s="20">
        <v>1</v>
      </c>
      <c r="B20" s="21" t="s">
        <v>36</v>
      </c>
      <c r="C20" s="22" t="s">
        <v>37</v>
      </c>
    </row>
    <row r="21" spans="1:12" ht="25" customHeight="1" x14ac:dyDescent="0.2">
      <c r="A21" s="20">
        <v>2</v>
      </c>
      <c r="B21" s="21" t="s">
        <v>38</v>
      </c>
      <c r="C21" s="22" t="s">
        <v>39</v>
      </c>
    </row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C6044-5E91-E746-9EB2-924AB750A60C}">
  <dimension ref="A2:G15"/>
  <sheetViews>
    <sheetView workbookViewId="0">
      <selection activeCell="D18" sqref="D18"/>
    </sheetView>
  </sheetViews>
  <sheetFormatPr baseColWidth="10" defaultRowHeight="19" customHeight="1" x14ac:dyDescent="0.2"/>
  <cols>
    <col min="1" max="1" width="15.6640625" style="1" customWidth="1"/>
    <col min="2" max="7" width="20.5" style="1" customWidth="1"/>
    <col min="8" max="16384" width="10.83203125" style="1"/>
  </cols>
  <sheetData>
    <row r="2" spans="1:7" ht="19" customHeight="1" x14ac:dyDescent="0.2">
      <c r="A2" s="52" t="s">
        <v>62</v>
      </c>
      <c r="B2" s="52" t="s">
        <v>63</v>
      </c>
    </row>
    <row r="3" spans="1:7" ht="19" customHeight="1" x14ac:dyDescent="0.2">
      <c r="A3" s="52" t="s">
        <v>64</v>
      </c>
      <c r="B3" s="52"/>
    </row>
    <row r="4" spans="1:7" s="6" customFormat="1" ht="19" customHeight="1" x14ac:dyDescent="0.2">
      <c r="B4" s="53" t="s">
        <v>65</v>
      </c>
      <c r="C4" s="53"/>
      <c r="D4" s="54" t="s">
        <v>66</v>
      </c>
      <c r="E4" s="54"/>
      <c r="F4" s="55" t="s">
        <v>67</v>
      </c>
      <c r="G4" s="55"/>
    </row>
    <row r="5" spans="1:7" s="6" customFormat="1" ht="19" customHeight="1" x14ac:dyDescent="0.2">
      <c r="B5" s="59" t="s">
        <v>69</v>
      </c>
      <c r="C5" s="51" t="s">
        <v>70</v>
      </c>
      <c r="D5" s="59" t="s">
        <v>69</v>
      </c>
      <c r="E5" s="51" t="s">
        <v>70</v>
      </c>
      <c r="F5" s="59" t="s">
        <v>69</v>
      </c>
      <c r="G5" s="51" t="s">
        <v>70</v>
      </c>
    </row>
    <row r="6" spans="1:7" ht="32" customHeight="1" x14ac:dyDescent="0.2">
      <c r="A6" s="56" t="s">
        <v>68</v>
      </c>
      <c r="B6" s="57">
        <v>20000</v>
      </c>
      <c r="C6" s="17">
        <v>10000</v>
      </c>
      <c r="D6" s="57">
        <v>35000</v>
      </c>
      <c r="E6" s="17">
        <v>15000</v>
      </c>
      <c r="F6" s="57">
        <v>18000</v>
      </c>
      <c r="G6" s="17">
        <v>0</v>
      </c>
    </row>
    <row r="7" spans="1:7" ht="7" customHeight="1" x14ac:dyDescent="0.2">
      <c r="A7" s="51"/>
      <c r="B7" s="50"/>
      <c r="C7" s="50"/>
      <c r="D7" s="50"/>
      <c r="E7" s="50"/>
      <c r="F7" s="50"/>
      <c r="G7" s="50"/>
    </row>
    <row r="8" spans="1:7" ht="32" customHeight="1" x14ac:dyDescent="0.2">
      <c r="A8" s="56" t="s">
        <v>71</v>
      </c>
      <c r="B8" s="17">
        <v>35000</v>
      </c>
      <c r="C8" s="17">
        <v>15000</v>
      </c>
      <c r="D8" s="17">
        <v>50000</v>
      </c>
      <c r="E8" s="17">
        <v>15000</v>
      </c>
      <c r="F8" s="17">
        <v>25000</v>
      </c>
      <c r="G8" s="17">
        <v>10000</v>
      </c>
    </row>
    <row r="9" spans="1:7" ht="7" customHeight="1" x14ac:dyDescent="0.2">
      <c r="A9" s="51"/>
      <c r="B9" s="50"/>
      <c r="C9" s="50"/>
      <c r="D9" s="50"/>
      <c r="E9" s="50"/>
      <c r="F9" s="50"/>
      <c r="G9" s="50"/>
    </row>
    <row r="10" spans="1:7" ht="32" customHeight="1" x14ac:dyDescent="0.2">
      <c r="A10" s="56" t="s">
        <v>72</v>
      </c>
      <c r="B10" s="57">
        <v>70000</v>
      </c>
      <c r="C10" s="17">
        <v>10000</v>
      </c>
      <c r="D10" s="57">
        <v>90000</v>
      </c>
      <c r="E10" s="17">
        <v>20000</v>
      </c>
      <c r="F10" s="57">
        <v>30000</v>
      </c>
      <c r="G10" s="17">
        <v>10000</v>
      </c>
    </row>
    <row r="11" spans="1:7" ht="7" customHeight="1" x14ac:dyDescent="0.2">
      <c r="A11" s="51"/>
      <c r="B11" s="50"/>
      <c r="C11" s="50"/>
      <c r="D11" s="50"/>
      <c r="E11" s="50"/>
      <c r="F11" s="50"/>
      <c r="G11" s="50"/>
    </row>
    <row r="12" spans="1:7" ht="32" customHeight="1" x14ac:dyDescent="0.2">
      <c r="A12" s="56" t="s">
        <v>73</v>
      </c>
      <c r="B12" s="17"/>
      <c r="C12" s="17"/>
      <c r="D12" s="17"/>
      <c r="E12" s="17"/>
      <c r="F12" s="57">
        <v>40000</v>
      </c>
      <c r="G12" s="58" t="s">
        <v>74</v>
      </c>
    </row>
    <row r="13" spans="1:7" ht="19" customHeight="1" x14ac:dyDescent="0.2">
      <c r="A13" s="5"/>
      <c r="B13" s="4"/>
      <c r="C13" s="4"/>
      <c r="D13" s="4"/>
      <c r="E13" s="4"/>
      <c r="F13" s="4"/>
      <c r="G13" s="4"/>
    </row>
    <row r="14" spans="1:7" ht="19" customHeight="1" x14ac:dyDescent="0.2">
      <c r="A14" s="5"/>
      <c r="B14" s="4"/>
      <c r="C14" s="4"/>
      <c r="D14" s="4"/>
      <c r="E14" s="4"/>
      <c r="F14" s="4"/>
      <c r="G14" s="4"/>
    </row>
    <row r="15" spans="1:7" ht="19" customHeight="1" x14ac:dyDescent="0.2">
      <c r="A15" s="5"/>
      <c r="B15" s="5"/>
      <c r="C15" s="5"/>
      <c r="D15" s="5"/>
      <c r="E15" s="5"/>
      <c r="F15" s="5"/>
      <c r="G15" s="5"/>
    </row>
  </sheetData>
  <mergeCells count="3">
    <mergeCell ref="B4:C4"/>
    <mergeCell ref="D4:E4"/>
    <mergeCell ref="F4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E9C8A-4F1E-9642-8459-60D26BA3413E}">
  <dimension ref="A1:J37"/>
  <sheetViews>
    <sheetView workbookViewId="0">
      <selection activeCell="E22" sqref="E22:E25"/>
    </sheetView>
  </sheetViews>
  <sheetFormatPr baseColWidth="10" defaultRowHeight="20" customHeight="1" x14ac:dyDescent="0.2"/>
  <cols>
    <col min="1" max="1" width="6.33203125" style="5" customWidth="1"/>
    <col min="2" max="2" width="22.83203125" style="1" bestFit="1" customWidth="1"/>
    <col min="3" max="3" width="19.5" style="1" customWidth="1"/>
    <col min="4" max="4" width="19.5" style="5" customWidth="1"/>
    <col min="5" max="6" width="20.1640625" style="5" customWidth="1"/>
    <col min="7" max="7" width="19.6640625" style="5" customWidth="1"/>
    <col min="8" max="8" width="16.33203125" style="1" customWidth="1"/>
    <col min="9" max="9" width="16.33203125" style="2" customWidth="1"/>
    <col min="10" max="10" width="16.33203125" style="1" customWidth="1"/>
    <col min="11" max="16384" width="10.83203125" style="1"/>
  </cols>
  <sheetData>
    <row r="1" spans="1:5" ht="30" customHeight="1" x14ac:dyDescent="0.2">
      <c r="A1" s="45" t="s">
        <v>43</v>
      </c>
      <c r="B1" s="45"/>
      <c r="C1" s="45"/>
      <c r="D1" s="45"/>
      <c r="E1" s="24"/>
    </row>
    <row r="2" spans="1:5" ht="26" customHeight="1" x14ac:dyDescent="0.2">
      <c r="A2" s="28" t="s">
        <v>1</v>
      </c>
      <c r="B2" s="28" t="s">
        <v>30</v>
      </c>
      <c r="C2" s="28" t="s">
        <v>31</v>
      </c>
      <c r="D2" s="28" t="s">
        <v>54</v>
      </c>
      <c r="E2" s="28" t="s">
        <v>55</v>
      </c>
    </row>
    <row r="3" spans="1:5" ht="20" customHeight="1" x14ac:dyDescent="0.2">
      <c r="A3" s="25">
        <v>1</v>
      </c>
      <c r="B3" s="26" t="s">
        <v>8</v>
      </c>
      <c r="C3" s="27">
        <f>'GIÁ VỐN'!$K$4</f>
        <v>77750</v>
      </c>
      <c r="D3" s="25">
        <v>1</v>
      </c>
      <c r="E3" s="25"/>
    </row>
    <row r="4" spans="1:5" ht="20" customHeight="1" x14ac:dyDescent="0.2">
      <c r="A4" s="25">
        <v>2</v>
      </c>
      <c r="B4" s="26" t="s">
        <v>9</v>
      </c>
      <c r="C4" s="27">
        <f>'GIÁ VỐN'!$K$5</f>
        <v>98750</v>
      </c>
      <c r="D4" s="25">
        <v>5</v>
      </c>
      <c r="E4" s="25"/>
    </row>
    <row r="5" spans="1:5" ht="20" customHeight="1" x14ac:dyDescent="0.2">
      <c r="A5" s="25">
        <v>3</v>
      </c>
      <c r="B5" s="26" t="s">
        <v>10</v>
      </c>
      <c r="C5" s="27">
        <f>'GIÁ VỐN'!$K$6</f>
        <v>107750</v>
      </c>
      <c r="D5" s="25"/>
      <c r="E5" s="25"/>
    </row>
    <row r="6" spans="1:5" ht="20" customHeight="1" x14ac:dyDescent="0.2">
      <c r="A6" s="25">
        <v>4</v>
      </c>
      <c r="B6" s="26" t="s">
        <v>11</v>
      </c>
      <c r="C6" s="27">
        <f>'GIÁ VỐN'!$K$7</f>
        <v>192000</v>
      </c>
      <c r="D6" s="25">
        <v>2</v>
      </c>
      <c r="E6" s="25"/>
    </row>
    <row r="7" spans="1:5" ht="20" customHeight="1" x14ac:dyDescent="0.2">
      <c r="A7" s="25">
        <v>5</v>
      </c>
      <c r="B7" s="26" t="s">
        <v>12</v>
      </c>
      <c r="C7" s="27">
        <f>'GIÁ VỐN'!$K$8</f>
        <v>225000</v>
      </c>
      <c r="D7" s="25"/>
      <c r="E7" s="25"/>
    </row>
    <row r="8" spans="1:5" ht="20" customHeight="1" x14ac:dyDescent="0.2">
      <c r="A8" s="25">
        <v>6</v>
      </c>
      <c r="B8" s="26" t="s">
        <v>13</v>
      </c>
      <c r="C8" s="27">
        <f>'GIÁ VỐN'!$K$9</f>
        <v>126000</v>
      </c>
      <c r="D8" s="25">
        <v>1</v>
      </c>
      <c r="E8" s="25"/>
    </row>
    <row r="9" spans="1:5" ht="20" customHeight="1" x14ac:dyDescent="0.2">
      <c r="A9" s="25">
        <v>7</v>
      </c>
      <c r="B9" s="26" t="s">
        <v>14</v>
      </c>
      <c r="C9" s="27">
        <f>'GIÁ VỐN'!$K$10</f>
        <v>132000</v>
      </c>
      <c r="D9" s="25"/>
      <c r="E9" s="25"/>
    </row>
    <row r="10" spans="1:5" ht="20" customHeight="1" x14ac:dyDescent="0.2">
      <c r="A10" s="25">
        <v>8</v>
      </c>
      <c r="B10" s="26" t="s">
        <v>15</v>
      </c>
      <c r="C10" s="27">
        <f>'GIÁ VỐN'!$K$11</f>
        <v>118500</v>
      </c>
      <c r="D10" s="25"/>
      <c r="E10" s="25"/>
    </row>
    <row r="11" spans="1:5" ht="20" customHeight="1" x14ac:dyDescent="0.2">
      <c r="A11" s="25">
        <v>9</v>
      </c>
      <c r="B11" s="26" t="s">
        <v>16</v>
      </c>
      <c r="C11" s="27">
        <f>'GIÁ VỐN'!$K$12</f>
        <v>109500</v>
      </c>
      <c r="D11" s="25"/>
      <c r="E11" s="25"/>
    </row>
    <row r="12" spans="1:5" ht="20" customHeight="1" x14ac:dyDescent="0.2">
      <c r="A12" s="25">
        <v>10</v>
      </c>
      <c r="B12" s="26" t="s">
        <v>17</v>
      </c>
      <c r="C12" s="27">
        <f>'GIÁ VỐN'!$K$13</f>
        <v>115500</v>
      </c>
      <c r="D12" s="25">
        <v>1</v>
      </c>
      <c r="E12" s="25"/>
    </row>
    <row r="13" spans="1:5" ht="20" customHeight="1" x14ac:dyDescent="0.2">
      <c r="A13" s="25">
        <v>11</v>
      </c>
      <c r="B13" s="26" t="s">
        <v>18</v>
      </c>
      <c r="C13" s="27">
        <f>'GIÁ VỐN'!$K$14</f>
        <v>129000</v>
      </c>
      <c r="D13" s="25"/>
      <c r="E13" s="25"/>
    </row>
    <row r="14" spans="1:5" ht="20" customHeight="1" x14ac:dyDescent="0.2">
      <c r="A14" s="25">
        <v>12</v>
      </c>
      <c r="B14" s="26" t="s">
        <v>19</v>
      </c>
      <c r="C14" s="27">
        <f>'GIÁ VỐN'!$K$15</f>
        <v>467500</v>
      </c>
      <c r="D14" s="25"/>
      <c r="E14" s="25"/>
    </row>
    <row r="15" spans="1:5" ht="20" customHeight="1" x14ac:dyDescent="0.2">
      <c r="A15" s="25">
        <v>13</v>
      </c>
      <c r="B15" s="26" t="s">
        <v>20</v>
      </c>
      <c r="C15" s="27">
        <f>'GIÁ VỐN'!$K$16</f>
        <v>533500</v>
      </c>
      <c r="D15" s="25"/>
      <c r="E15" s="25"/>
    </row>
    <row r="16" spans="1:5" ht="20" customHeight="1" x14ac:dyDescent="0.2">
      <c r="A16" s="25">
        <v>14</v>
      </c>
      <c r="B16" s="26" t="s">
        <v>21</v>
      </c>
      <c r="C16" s="27">
        <f>'GIÁ VỐN'!$K$17</f>
        <v>228000</v>
      </c>
      <c r="D16" s="25">
        <v>1</v>
      </c>
      <c r="E16" s="25"/>
    </row>
    <row r="18" spans="1:10" ht="37" customHeight="1" x14ac:dyDescent="0.2">
      <c r="A18" s="46" t="s">
        <v>53</v>
      </c>
      <c r="B18" s="46"/>
      <c r="C18" s="46"/>
      <c r="D18" s="46"/>
      <c r="E18" s="46"/>
      <c r="F18" s="46"/>
      <c r="G18" s="46"/>
      <c r="H18" s="46"/>
      <c r="I18" s="46"/>
      <c r="J18" s="46"/>
    </row>
    <row r="19" spans="1:10" s="6" customFormat="1" ht="20" customHeight="1" x14ac:dyDescent="0.2">
      <c r="A19" s="29" t="s">
        <v>1</v>
      </c>
      <c r="B19" s="29" t="s">
        <v>40</v>
      </c>
      <c r="C19" s="29" t="s">
        <v>30</v>
      </c>
      <c r="D19" s="29" t="s">
        <v>34</v>
      </c>
      <c r="E19" s="29" t="s">
        <v>41</v>
      </c>
      <c r="F19" s="29" t="s">
        <v>31</v>
      </c>
      <c r="G19" s="29" t="s">
        <v>32</v>
      </c>
      <c r="H19" s="47" t="s">
        <v>49</v>
      </c>
      <c r="I19" s="47"/>
      <c r="J19" s="23" t="s">
        <v>33</v>
      </c>
    </row>
    <row r="20" spans="1:10" ht="20" customHeight="1" x14ac:dyDescent="0.2">
      <c r="A20" s="31">
        <v>1</v>
      </c>
      <c r="B20" s="32" t="s">
        <v>42</v>
      </c>
      <c r="C20" s="33" t="s">
        <v>9</v>
      </c>
      <c r="D20" s="34">
        <v>290000</v>
      </c>
      <c r="E20" s="34">
        <v>268610</v>
      </c>
      <c r="F20" s="34">
        <f>C4*2</f>
        <v>197500</v>
      </c>
      <c r="G20" s="34">
        <f>E20-F20</f>
        <v>71110</v>
      </c>
      <c r="H20" s="35" t="s">
        <v>50</v>
      </c>
      <c r="I20" s="36">
        <v>108000</v>
      </c>
      <c r="J20" s="44">
        <f>(G35-H35)*20%</f>
        <v>61274</v>
      </c>
    </row>
    <row r="21" spans="1:10" ht="20" customHeight="1" x14ac:dyDescent="0.2">
      <c r="A21" s="31">
        <v>2</v>
      </c>
      <c r="B21" s="32" t="s">
        <v>44</v>
      </c>
      <c r="C21" s="33" t="s">
        <v>9</v>
      </c>
      <c r="D21" s="34">
        <v>150000</v>
      </c>
      <c r="E21" s="34">
        <v>128280</v>
      </c>
      <c r="F21" s="34">
        <f>C4</f>
        <v>98750</v>
      </c>
      <c r="G21" s="34">
        <f>E21-F21</f>
        <v>29530</v>
      </c>
      <c r="H21" s="35"/>
      <c r="I21" s="36"/>
      <c r="J21" s="44"/>
    </row>
    <row r="22" spans="1:10" ht="20" customHeight="1" x14ac:dyDescent="0.2">
      <c r="A22" s="40">
        <v>3</v>
      </c>
      <c r="B22" s="41" t="s">
        <v>45</v>
      </c>
      <c r="C22" s="33" t="s">
        <v>8</v>
      </c>
      <c r="D22" s="38">
        <v>695000</v>
      </c>
      <c r="E22" s="38">
        <v>605264</v>
      </c>
      <c r="F22" s="38">
        <f>C3+C4+C12+C6</f>
        <v>484000</v>
      </c>
      <c r="G22" s="38">
        <f>E22-F22</f>
        <v>121264</v>
      </c>
      <c r="H22" s="35"/>
      <c r="I22" s="36"/>
      <c r="J22" s="44"/>
    </row>
    <row r="23" spans="1:10" ht="20" customHeight="1" x14ac:dyDescent="0.2">
      <c r="A23" s="40"/>
      <c r="B23" s="41"/>
      <c r="C23" s="33" t="s">
        <v>9</v>
      </c>
      <c r="D23" s="38"/>
      <c r="E23" s="38"/>
      <c r="F23" s="38"/>
      <c r="G23" s="38"/>
      <c r="H23" s="35"/>
      <c r="I23" s="36"/>
      <c r="J23" s="44"/>
    </row>
    <row r="24" spans="1:10" ht="20" customHeight="1" x14ac:dyDescent="0.2">
      <c r="A24" s="40"/>
      <c r="B24" s="41"/>
      <c r="C24" s="33" t="s">
        <v>17</v>
      </c>
      <c r="D24" s="38"/>
      <c r="E24" s="38"/>
      <c r="F24" s="38"/>
      <c r="G24" s="38"/>
      <c r="H24" s="35"/>
      <c r="I24" s="36"/>
      <c r="J24" s="44"/>
    </row>
    <row r="25" spans="1:10" ht="20" customHeight="1" x14ac:dyDescent="0.2">
      <c r="A25" s="40"/>
      <c r="B25" s="41"/>
      <c r="C25" s="33" t="s">
        <v>46</v>
      </c>
      <c r="D25" s="38"/>
      <c r="E25" s="38"/>
      <c r="F25" s="38"/>
      <c r="G25" s="38"/>
      <c r="H25" s="35"/>
      <c r="I25" s="36"/>
      <c r="J25" s="44"/>
    </row>
    <row r="26" spans="1:10" ht="20" customHeight="1" x14ac:dyDescent="0.2">
      <c r="A26" s="31">
        <v>4</v>
      </c>
      <c r="B26" s="32" t="s">
        <v>47</v>
      </c>
      <c r="C26" s="33" t="s">
        <v>46</v>
      </c>
      <c r="D26" s="34">
        <v>250000</v>
      </c>
      <c r="E26" s="34">
        <v>217900</v>
      </c>
      <c r="F26" s="34">
        <f>C6</f>
        <v>192000</v>
      </c>
      <c r="G26" s="34">
        <f>E26-F26</f>
        <v>25900</v>
      </c>
      <c r="H26" s="35"/>
      <c r="I26" s="36"/>
      <c r="J26" s="44"/>
    </row>
    <row r="27" spans="1:10" ht="20" customHeight="1" x14ac:dyDescent="0.2">
      <c r="A27" s="40">
        <v>5</v>
      </c>
      <c r="B27" s="41" t="s">
        <v>48</v>
      </c>
      <c r="C27" s="33" t="s">
        <v>21</v>
      </c>
      <c r="D27" s="38">
        <v>394000</v>
      </c>
      <c r="E27" s="38">
        <v>343027</v>
      </c>
      <c r="F27" s="38">
        <f>C16+'GIÁ VỐN'!G16</f>
        <v>280880</v>
      </c>
      <c r="G27" s="38">
        <f>E27-F27</f>
        <v>62147</v>
      </c>
      <c r="H27" s="35"/>
      <c r="I27" s="36"/>
      <c r="J27" s="44"/>
    </row>
    <row r="28" spans="1:10" ht="20" customHeight="1" x14ac:dyDescent="0.2">
      <c r="A28" s="40"/>
      <c r="B28" s="41"/>
      <c r="C28" s="33" t="s">
        <v>51</v>
      </c>
      <c r="D28" s="38"/>
      <c r="E28" s="38"/>
      <c r="F28" s="38"/>
      <c r="G28" s="38"/>
      <c r="H28" s="35"/>
      <c r="I28" s="36"/>
      <c r="J28" s="44"/>
    </row>
    <row r="29" spans="1:10" ht="20" customHeight="1" x14ac:dyDescent="0.2">
      <c r="A29" s="40">
        <v>6</v>
      </c>
      <c r="B29" s="41" t="s">
        <v>52</v>
      </c>
      <c r="C29" s="33" t="s">
        <v>9</v>
      </c>
      <c r="D29" s="38">
        <v>350000</v>
      </c>
      <c r="E29" s="38">
        <v>311900</v>
      </c>
      <c r="F29" s="38">
        <f>C8+C4</f>
        <v>224750</v>
      </c>
      <c r="G29" s="38">
        <f>E29-F29</f>
        <v>87150</v>
      </c>
      <c r="H29" s="35"/>
      <c r="I29" s="36"/>
      <c r="J29" s="44"/>
    </row>
    <row r="30" spans="1:10" ht="20" customHeight="1" x14ac:dyDescent="0.2">
      <c r="A30" s="40"/>
      <c r="B30" s="41"/>
      <c r="C30" s="33" t="s">
        <v>13</v>
      </c>
      <c r="D30" s="38"/>
      <c r="E30" s="38"/>
      <c r="F30" s="38"/>
      <c r="G30" s="38"/>
      <c r="H30" s="35"/>
      <c r="I30" s="36"/>
      <c r="J30" s="44"/>
    </row>
    <row r="31" spans="1:10" ht="20" customHeight="1" x14ac:dyDescent="0.2">
      <c r="A31" s="40">
        <v>7</v>
      </c>
      <c r="B31" s="39" t="s">
        <v>56</v>
      </c>
      <c r="C31" s="33" t="s">
        <v>57</v>
      </c>
      <c r="D31" s="38">
        <v>347800</v>
      </c>
      <c r="E31" s="38">
        <v>245269</v>
      </c>
      <c r="F31" s="38">
        <f>C16</f>
        <v>228000</v>
      </c>
      <c r="G31" s="38">
        <f>E31-F31</f>
        <v>17269</v>
      </c>
      <c r="H31" s="35"/>
      <c r="I31" s="36"/>
      <c r="J31" s="44"/>
    </row>
    <row r="32" spans="1:10" ht="20" customHeight="1" x14ac:dyDescent="0.2">
      <c r="A32" s="40"/>
      <c r="B32" s="39"/>
      <c r="C32" s="33" t="s">
        <v>21</v>
      </c>
      <c r="D32" s="38"/>
      <c r="E32" s="38"/>
      <c r="F32" s="38"/>
      <c r="G32" s="38"/>
      <c r="H32" s="35"/>
      <c r="I32" s="36"/>
      <c r="J32" s="44"/>
    </row>
    <row r="33" spans="1:10" ht="20" customHeight="1" x14ac:dyDescent="0.2">
      <c r="A33" s="31"/>
      <c r="B33" s="35"/>
      <c r="C33" s="33"/>
      <c r="D33" s="34"/>
      <c r="E33" s="34"/>
      <c r="F33" s="34"/>
      <c r="G33" s="34">
        <f t="shared" ref="G33" si="0">E33-F33</f>
        <v>0</v>
      </c>
      <c r="H33" s="35"/>
      <c r="I33" s="36"/>
      <c r="J33" s="44"/>
    </row>
    <row r="34" spans="1:10" ht="20" customHeight="1" x14ac:dyDescent="0.2">
      <c r="A34" s="31"/>
      <c r="B34" s="35"/>
      <c r="C34" s="33"/>
      <c r="D34" s="34"/>
      <c r="E34" s="34"/>
      <c r="F34" s="34"/>
      <c r="G34" s="34"/>
      <c r="H34" s="35"/>
      <c r="I34" s="36"/>
      <c r="J34" s="44"/>
    </row>
    <row r="35" spans="1:10" ht="35" customHeight="1" x14ac:dyDescent="0.2">
      <c r="D35" s="30">
        <f>SUM(D20:D34)</f>
        <v>2476800</v>
      </c>
      <c r="E35" s="30">
        <f t="shared" ref="E35:G35" si="1">SUM(E20:E34)</f>
        <v>2120250</v>
      </c>
      <c r="F35" s="30">
        <f t="shared" si="1"/>
        <v>1705880</v>
      </c>
      <c r="G35" s="30">
        <f t="shared" si="1"/>
        <v>414370</v>
      </c>
      <c r="H35" s="42">
        <f>SUM(I20:I34)</f>
        <v>108000</v>
      </c>
      <c r="I35" s="43"/>
    </row>
    <row r="36" spans="1:10" ht="20" customHeight="1" x14ac:dyDescent="0.2">
      <c r="D36" s="4"/>
      <c r="E36" s="4"/>
      <c r="F36" s="4"/>
      <c r="G36" s="4"/>
    </row>
    <row r="37" spans="1:10" ht="20" customHeight="1" x14ac:dyDescent="0.2">
      <c r="E37" s="37">
        <f>E35/D35</f>
        <v>0.8560440891472868</v>
      </c>
      <c r="F37" s="37">
        <f>F35/E35</f>
        <v>0.80456549935149158</v>
      </c>
      <c r="G37" s="37">
        <f>G35/E35</f>
        <v>0.19543450064850842</v>
      </c>
    </row>
  </sheetData>
  <mergeCells count="29">
    <mergeCell ref="H35:I35"/>
    <mergeCell ref="J20:J34"/>
    <mergeCell ref="A1:D1"/>
    <mergeCell ref="A18:J18"/>
    <mergeCell ref="A27:A28"/>
    <mergeCell ref="B27:B28"/>
    <mergeCell ref="D29:D30"/>
    <mergeCell ref="E29:E30"/>
    <mergeCell ref="F29:F30"/>
    <mergeCell ref="G29:G30"/>
    <mergeCell ref="B29:B30"/>
    <mergeCell ref="A29:A30"/>
    <mergeCell ref="H19:I19"/>
    <mergeCell ref="D27:D28"/>
    <mergeCell ref="E27:E28"/>
    <mergeCell ref="F27:F28"/>
    <mergeCell ref="G27:G28"/>
    <mergeCell ref="D22:D25"/>
    <mergeCell ref="B22:B25"/>
    <mergeCell ref="A22:A25"/>
    <mergeCell ref="E22:E25"/>
    <mergeCell ref="F22:F25"/>
    <mergeCell ref="G22:G25"/>
    <mergeCell ref="G31:G32"/>
    <mergeCell ref="B31:B32"/>
    <mergeCell ref="A31:A32"/>
    <mergeCell ref="D31:D32"/>
    <mergeCell ref="E31:E32"/>
    <mergeCell ref="F31:F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7BA21-0D99-294B-997C-CE79C4C80BE9}">
  <dimension ref="A1:J37"/>
  <sheetViews>
    <sheetView workbookViewId="0">
      <selection activeCell="J35" sqref="J35"/>
    </sheetView>
  </sheetViews>
  <sheetFormatPr baseColWidth="10" defaultRowHeight="20" customHeight="1" x14ac:dyDescent="0.2"/>
  <cols>
    <col min="1" max="1" width="6.33203125" style="5" customWidth="1"/>
    <col min="2" max="2" width="22.83203125" style="1" bestFit="1" customWidth="1"/>
    <col min="3" max="3" width="19.5" style="1" customWidth="1"/>
    <col min="4" max="4" width="19.5" style="5" customWidth="1"/>
    <col min="5" max="6" width="20.1640625" style="5" customWidth="1"/>
    <col min="7" max="7" width="19.6640625" style="5" customWidth="1"/>
    <col min="8" max="8" width="16.33203125" style="1" customWidth="1"/>
    <col min="9" max="9" width="16.33203125" style="2" customWidth="1"/>
    <col min="10" max="10" width="16.33203125" style="1" customWidth="1"/>
    <col min="11" max="16384" width="10.83203125" style="1"/>
  </cols>
  <sheetData>
    <row r="1" spans="1:5" ht="30" customHeight="1" x14ac:dyDescent="0.2">
      <c r="A1" s="45" t="s">
        <v>43</v>
      </c>
      <c r="B1" s="45"/>
      <c r="C1" s="45"/>
      <c r="D1" s="45"/>
      <c r="E1" s="24"/>
    </row>
    <row r="2" spans="1:5" ht="26" customHeight="1" x14ac:dyDescent="0.2">
      <c r="A2" s="28" t="s">
        <v>1</v>
      </c>
      <c r="B2" s="28" t="s">
        <v>30</v>
      </c>
      <c r="C2" s="28" t="s">
        <v>31</v>
      </c>
      <c r="D2" s="28" t="s">
        <v>54</v>
      </c>
      <c r="E2" s="28" t="s">
        <v>55</v>
      </c>
    </row>
    <row r="3" spans="1:5" ht="20" customHeight="1" x14ac:dyDescent="0.2">
      <c r="A3" s="25">
        <v>1</v>
      </c>
      <c r="B3" s="26" t="s">
        <v>8</v>
      </c>
      <c r="C3" s="27">
        <f>'GIÁ VỐN'!$K$4</f>
        <v>77750</v>
      </c>
      <c r="D3" s="25"/>
      <c r="E3" s="25"/>
    </row>
    <row r="4" spans="1:5" ht="20" customHeight="1" x14ac:dyDescent="0.2">
      <c r="A4" s="25">
        <v>2</v>
      </c>
      <c r="B4" s="26" t="s">
        <v>9</v>
      </c>
      <c r="C4" s="27">
        <f>'GIÁ VỐN'!$K$5</f>
        <v>98750</v>
      </c>
      <c r="D4" s="25"/>
      <c r="E4" s="25"/>
    </row>
    <row r="5" spans="1:5" ht="20" customHeight="1" x14ac:dyDescent="0.2">
      <c r="A5" s="25">
        <v>3</v>
      </c>
      <c r="B5" s="26" t="s">
        <v>10</v>
      </c>
      <c r="C5" s="27">
        <f>'GIÁ VỐN'!$K$6</f>
        <v>107750</v>
      </c>
      <c r="D5" s="25"/>
      <c r="E5" s="25"/>
    </row>
    <row r="6" spans="1:5" ht="20" customHeight="1" x14ac:dyDescent="0.2">
      <c r="A6" s="25">
        <v>4</v>
      </c>
      <c r="B6" s="26" t="s">
        <v>11</v>
      </c>
      <c r="C6" s="27">
        <f>'GIÁ VỐN'!$K$7</f>
        <v>192000</v>
      </c>
      <c r="D6" s="25"/>
      <c r="E6" s="25"/>
    </row>
    <row r="7" spans="1:5" ht="20" customHeight="1" x14ac:dyDescent="0.2">
      <c r="A7" s="25">
        <v>5</v>
      </c>
      <c r="B7" s="26" t="s">
        <v>12</v>
      </c>
      <c r="C7" s="27">
        <f>'GIÁ VỐN'!$K$8</f>
        <v>225000</v>
      </c>
      <c r="D7" s="25"/>
      <c r="E7" s="25"/>
    </row>
    <row r="8" spans="1:5" ht="20" customHeight="1" x14ac:dyDescent="0.2">
      <c r="A8" s="25">
        <v>6</v>
      </c>
      <c r="B8" s="26" t="s">
        <v>13</v>
      </c>
      <c r="C8" s="27">
        <f>'GIÁ VỐN'!$K$9</f>
        <v>126000</v>
      </c>
      <c r="D8" s="25"/>
      <c r="E8" s="25">
        <v>1</v>
      </c>
    </row>
    <row r="9" spans="1:5" ht="20" customHeight="1" x14ac:dyDescent="0.2">
      <c r="A9" s="25">
        <v>7</v>
      </c>
      <c r="B9" s="26" t="s">
        <v>14</v>
      </c>
      <c r="C9" s="27">
        <f>'GIÁ VỐN'!$K$10</f>
        <v>132000</v>
      </c>
      <c r="D9" s="25"/>
      <c r="E9" s="25">
        <v>1</v>
      </c>
    </row>
    <row r="10" spans="1:5" ht="20" customHeight="1" x14ac:dyDescent="0.2">
      <c r="A10" s="25">
        <v>8</v>
      </c>
      <c r="B10" s="26" t="s">
        <v>15</v>
      </c>
      <c r="C10" s="27">
        <f>'GIÁ VỐN'!$K$11</f>
        <v>118500</v>
      </c>
      <c r="D10" s="25"/>
      <c r="E10" s="25"/>
    </row>
    <row r="11" spans="1:5" ht="20" customHeight="1" x14ac:dyDescent="0.2">
      <c r="A11" s="25">
        <v>9</v>
      </c>
      <c r="B11" s="26" t="s">
        <v>16</v>
      </c>
      <c r="C11" s="27">
        <f>'GIÁ VỐN'!$K$12</f>
        <v>109500</v>
      </c>
      <c r="D11" s="25"/>
      <c r="E11" s="25"/>
    </row>
    <row r="12" spans="1:5" ht="20" customHeight="1" x14ac:dyDescent="0.2">
      <c r="A12" s="25">
        <v>10</v>
      </c>
      <c r="B12" s="26" t="s">
        <v>17</v>
      </c>
      <c r="C12" s="27">
        <f>'GIÁ VỐN'!$K$13</f>
        <v>115500</v>
      </c>
      <c r="D12" s="25"/>
      <c r="E12" s="25"/>
    </row>
    <row r="13" spans="1:5" ht="20" customHeight="1" x14ac:dyDescent="0.2">
      <c r="A13" s="25">
        <v>11</v>
      </c>
      <c r="B13" s="26" t="s">
        <v>18</v>
      </c>
      <c r="C13" s="27">
        <f>'GIÁ VỐN'!$K$14</f>
        <v>129000</v>
      </c>
      <c r="D13" s="25"/>
      <c r="E13" s="25"/>
    </row>
    <row r="14" spans="1:5" ht="20" customHeight="1" x14ac:dyDescent="0.2">
      <c r="A14" s="25">
        <v>12</v>
      </c>
      <c r="B14" s="26" t="s">
        <v>19</v>
      </c>
      <c r="C14" s="27">
        <f>'GIÁ VỐN'!$K$15</f>
        <v>467500</v>
      </c>
      <c r="D14" s="25"/>
      <c r="E14" s="25"/>
    </row>
    <row r="15" spans="1:5" ht="20" customHeight="1" x14ac:dyDescent="0.2">
      <c r="A15" s="25">
        <v>13</v>
      </c>
      <c r="B15" s="26" t="s">
        <v>20</v>
      </c>
      <c r="C15" s="27">
        <f>'GIÁ VỐN'!$K$16</f>
        <v>533500</v>
      </c>
      <c r="D15" s="25"/>
      <c r="E15" s="25"/>
    </row>
    <row r="16" spans="1:5" ht="20" customHeight="1" x14ac:dyDescent="0.2">
      <c r="A16" s="25">
        <v>14</v>
      </c>
      <c r="B16" s="26" t="s">
        <v>21</v>
      </c>
      <c r="C16" s="27">
        <f>'GIÁ VỐN'!$K$17</f>
        <v>228000</v>
      </c>
      <c r="D16" s="25"/>
      <c r="E16" s="25"/>
    </row>
    <row r="18" spans="1:10" ht="37" customHeight="1" x14ac:dyDescent="0.2">
      <c r="A18" s="46" t="s">
        <v>58</v>
      </c>
      <c r="B18" s="46"/>
      <c r="C18" s="46"/>
      <c r="D18" s="46"/>
      <c r="E18" s="46"/>
      <c r="F18" s="46"/>
      <c r="G18" s="46"/>
      <c r="H18" s="46"/>
      <c r="I18" s="46"/>
      <c r="J18" s="46"/>
    </row>
    <row r="19" spans="1:10" s="6" customFormat="1" ht="20" customHeight="1" x14ac:dyDescent="0.2">
      <c r="A19" s="29" t="s">
        <v>1</v>
      </c>
      <c r="B19" s="29" t="s">
        <v>40</v>
      </c>
      <c r="C19" s="29" t="s">
        <v>30</v>
      </c>
      <c r="D19" s="29" t="s">
        <v>34</v>
      </c>
      <c r="E19" s="29" t="s">
        <v>41</v>
      </c>
      <c r="F19" s="29" t="s">
        <v>31</v>
      </c>
      <c r="G19" s="29" t="s">
        <v>32</v>
      </c>
      <c r="H19" s="47" t="s">
        <v>60</v>
      </c>
      <c r="I19" s="47"/>
      <c r="J19" s="23" t="s">
        <v>33</v>
      </c>
    </row>
    <row r="20" spans="1:10" ht="20" customHeight="1" x14ac:dyDescent="0.2">
      <c r="A20" s="31">
        <v>1</v>
      </c>
      <c r="B20" s="49" t="s">
        <v>59</v>
      </c>
      <c r="C20" s="33" t="s">
        <v>13</v>
      </c>
      <c r="D20" s="38">
        <v>334100</v>
      </c>
      <c r="E20" s="34">
        <v>301100</v>
      </c>
      <c r="F20" s="34">
        <f>C8+C9</f>
        <v>258000</v>
      </c>
      <c r="G20" s="34">
        <f>E20-F20</f>
        <v>43100</v>
      </c>
      <c r="H20" s="35" t="s">
        <v>61</v>
      </c>
      <c r="I20" s="36">
        <v>33000</v>
      </c>
      <c r="J20" s="44">
        <f>20%*G35</f>
        <v>8620</v>
      </c>
    </row>
    <row r="21" spans="1:10" ht="20" customHeight="1" x14ac:dyDescent="0.2">
      <c r="A21" s="31"/>
      <c r="B21" s="32"/>
      <c r="C21" s="33" t="s">
        <v>14</v>
      </c>
      <c r="D21" s="38"/>
      <c r="E21" s="34"/>
      <c r="F21" s="34"/>
      <c r="G21" s="34"/>
      <c r="H21" s="35"/>
      <c r="I21" s="36"/>
      <c r="J21" s="44"/>
    </row>
    <row r="22" spans="1:10" ht="20" customHeight="1" x14ac:dyDescent="0.2">
      <c r="A22" s="40"/>
      <c r="B22" s="41"/>
      <c r="C22" s="33"/>
      <c r="D22" s="38"/>
      <c r="E22" s="38"/>
      <c r="F22" s="38"/>
      <c r="G22" s="38"/>
      <c r="H22" s="35"/>
      <c r="I22" s="36"/>
      <c r="J22" s="44"/>
    </row>
    <row r="23" spans="1:10" ht="20" customHeight="1" x14ac:dyDescent="0.2">
      <c r="A23" s="40"/>
      <c r="B23" s="41"/>
      <c r="C23" s="33"/>
      <c r="D23" s="38"/>
      <c r="E23" s="38"/>
      <c r="F23" s="38"/>
      <c r="G23" s="38"/>
      <c r="H23" s="35"/>
      <c r="I23" s="36"/>
      <c r="J23" s="44"/>
    </row>
    <row r="24" spans="1:10" ht="20" customHeight="1" x14ac:dyDescent="0.2">
      <c r="A24" s="40"/>
      <c r="B24" s="41"/>
      <c r="C24" s="33"/>
      <c r="D24" s="38"/>
      <c r="E24" s="38"/>
      <c r="F24" s="38"/>
      <c r="G24" s="38"/>
      <c r="H24" s="35"/>
      <c r="I24" s="36"/>
      <c r="J24" s="44"/>
    </row>
    <row r="25" spans="1:10" ht="20" customHeight="1" x14ac:dyDescent="0.2">
      <c r="A25" s="40"/>
      <c r="B25" s="41"/>
      <c r="C25" s="33"/>
      <c r="D25" s="38"/>
      <c r="E25" s="38"/>
      <c r="F25" s="38"/>
      <c r="G25" s="38"/>
      <c r="H25" s="35"/>
      <c r="I25" s="36"/>
      <c r="J25" s="44"/>
    </row>
    <row r="26" spans="1:10" ht="20" customHeight="1" x14ac:dyDescent="0.2">
      <c r="A26" s="31"/>
      <c r="B26" s="32"/>
      <c r="C26" s="33"/>
      <c r="D26" s="34"/>
      <c r="E26" s="34"/>
      <c r="F26" s="34"/>
      <c r="G26" s="34"/>
      <c r="H26" s="35"/>
      <c r="I26" s="36"/>
      <c r="J26" s="44"/>
    </row>
    <row r="27" spans="1:10" ht="20" customHeight="1" x14ac:dyDescent="0.2">
      <c r="A27" s="40"/>
      <c r="B27" s="41"/>
      <c r="C27" s="33"/>
      <c r="D27" s="38"/>
      <c r="E27" s="38"/>
      <c r="F27" s="38"/>
      <c r="G27" s="38"/>
      <c r="H27" s="35"/>
      <c r="I27" s="36"/>
      <c r="J27" s="44"/>
    </row>
    <row r="28" spans="1:10" ht="20" customHeight="1" x14ac:dyDescent="0.2">
      <c r="A28" s="40"/>
      <c r="B28" s="41"/>
      <c r="C28" s="33"/>
      <c r="D28" s="38"/>
      <c r="E28" s="38"/>
      <c r="F28" s="38"/>
      <c r="G28" s="38"/>
      <c r="H28" s="35"/>
      <c r="I28" s="36"/>
      <c r="J28" s="44"/>
    </row>
    <row r="29" spans="1:10" ht="20" customHeight="1" x14ac:dyDescent="0.2">
      <c r="A29" s="40"/>
      <c r="B29" s="41"/>
      <c r="C29" s="33"/>
      <c r="D29" s="38"/>
      <c r="E29" s="38"/>
      <c r="F29" s="38"/>
      <c r="G29" s="38"/>
      <c r="H29" s="35"/>
      <c r="I29" s="36"/>
      <c r="J29" s="44"/>
    </row>
    <row r="30" spans="1:10" ht="20" customHeight="1" x14ac:dyDescent="0.2">
      <c r="A30" s="40"/>
      <c r="B30" s="41"/>
      <c r="C30" s="33"/>
      <c r="D30" s="38"/>
      <c r="E30" s="38"/>
      <c r="F30" s="38"/>
      <c r="G30" s="38"/>
      <c r="H30" s="35"/>
      <c r="I30" s="36"/>
      <c r="J30" s="44"/>
    </row>
    <row r="31" spans="1:10" ht="20" customHeight="1" x14ac:dyDescent="0.2">
      <c r="A31" s="40"/>
      <c r="B31" s="39"/>
      <c r="C31" s="33"/>
      <c r="D31" s="38"/>
      <c r="E31" s="38"/>
      <c r="F31" s="38"/>
      <c r="G31" s="38"/>
      <c r="H31" s="35"/>
      <c r="I31" s="36"/>
      <c r="J31" s="44"/>
    </row>
    <row r="32" spans="1:10" ht="20" customHeight="1" x14ac:dyDescent="0.2">
      <c r="A32" s="40"/>
      <c r="B32" s="39"/>
      <c r="C32" s="33"/>
      <c r="D32" s="38"/>
      <c r="E32" s="38"/>
      <c r="F32" s="38"/>
      <c r="G32" s="38"/>
      <c r="H32" s="35"/>
      <c r="I32" s="36"/>
      <c r="J32" s="44"/>
    </row>
    <row r="33" spans="1:10" ht="20" customHeight="1" x14ac:dyDescent="0.2">
      <c r="A33" s="31"/>
      <c r="B33" s="35"/>
      <c r="C33" s="33"/>
      <c r="D33" s="34"/>
      <c r="E33" s="34"/>
      <c r="F33" s="34"/>
      <c r="G33" s="34"/>
      <c r="H33" s="35"/>
      <c r="I33" s="36"/>
      <c r="J33" s="44"/>
    </row>
    <row r="34" spans="1:10" ht="20" customHeight="1" x14ac:dyDescent="0.2">
      <c r="A34" s="31"/>
      <c r="B34" s="35"/>
      <c r="C34" s="33"/>
      <c r="D34" s="34"/>
      <c r="E34" s="34"/>
      <c r="F34" s="34"/>
      <c r="G34" s="34"/>
      <c r="H34" s="35"/>
      <c r="I34" s="36"/>
      <c r="J34" s="44"/>
    </row>
    <row r="35" spans="1:10" ht="35" customHeight="1" x14ac:dyDescent="0.2">
      <c r="D35" s="30">
        <f>SUM(D20:D34)</f>
        <v>334100</v>
      </c>
      <c r="E35" s="30">
        <f t="shared" ref="E35:G35" si="0">SUM(E20:E34)</f>
        <v>301100</v>
      </c>
      <c r="F35" s="30">
        <f t="shared" si="0"/>
        <v>258000</v>
      </c>
      <c r="G35" s="30">
        <f t="shared" si="0"/>
        <v>43100</v>
      </c>
      <c r="H35" s="42">
        <f>SUM(I20:I34)</f>
        <v>33000</v>
      </c>
      <c r="I35" s="43"/>
    </row>
    <row r="36" spans="1:10" ht="20" customHeight="1" x14ac:dyDescent="0.2">
      <c r="D36" s="4"/>
      <c r="E36" s="4"/>
      <c r="F36" s="4"/>
      <c r="G36" s="4"/>
    </row>
    <row r="37" spans="1:10" ht="20" customHeight="1" x14ac:dyDescent="0.2">
      <c r="E37" s="37">
        <f>E35/D35</f>
        <v>0.90122717749176895</v>
      </c>
      <c r="F37" s="37">
        <f>F35/E35</f>
        <v>0.85685818664895386</v>
      </c>
      <c r="G37" s="37">
        <f>G35/E35</f>
        <v>0.14314181335104617</v>
      </c>
    </row>
  </sheetData>
  <mergeCells count="30">
    <mergeCell ref="H35:I35"/>
    <mergeCell ref="D20:D21"/>
    <mergeCell ref="A31:A32"/>
    <mergeCell ref="B31:B32"/>
    <mergeCell ref="D31:D32"/>
    <mergeCell ref="E31:E32"/>
    <mergeCell ref="F31:F32"/>
    <mergeCell ref="G31:G32"/>
    <mergeCell ref="A29:A30"/>
    <mergeCell ref="B29:B30"/>
    <mergeCell ref="D29:D30"/>
    <mergeCell ref="E29:E30"/>
    <mergeCell ref="F29:F30"/>
    <mergeCell ref="G29:G30"/>
    <mergeCell ref="A27:A28"/>
    <mergeCell ref="B27:B28"/>
    <mergeCell ref="D27:D28"/>
    <mergeCell ref="E27:E28"/>
    <mergeCell ref="F27:F28"/>
    <mergeCell ref="G27:G28"/>
    <mergeCell ref="A1:D1"/>
    <mergeCell ref="A18:J18"/>
    <mergeCell ref="H19:I19"/>
    <mergeCell ref="J20:J34"/>
    <mergeCell ref="A22:A25"/>
    <mergeCell ref="B22:B25"/>
    <mergeCell ref="D22:D25"/>
    <mergeCell ref="E22:E25"/>
    <mergeCell ref="F22:F25"/>
    <mergeCell ref="G22:G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GIÁ VỐN</vt:lpstr>
      <vt:lpstr>PHÍ SHIP</vt:lpstr>
      <vt:lpstr>T08</vt:lpstr>
      <vt:lpstr>T09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phamthiminhtram1997@gmail.com</dc:creator>
  <cp:lastModifiedBy>phamthiminhtram1997@gmail.com</cp:lastModifiedBy>
  <dcterms:created xsi:type="dcterms:W3CDTF">2026-08-18T06:46:19Z</dcterms:created>
  <dcterms:modified xsi:type="dcterms:W3CDTF">2026-09-05T08:52:05Z</dcterms:modified>
</cp:coreProperties>
</file>